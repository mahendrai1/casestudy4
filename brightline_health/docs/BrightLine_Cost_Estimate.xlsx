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Unit prices" sheetId="3" state="visible" r:id="rId5"/>
    <sheet name="Sizing" sheetId="4" state="visible" r:id="rId6"/>
    <sheet name="Monthly run cost" sheetId="5" state="visible" r:id="rId7"/>
    <sheet name="One-time setu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<sst xmlns="http://schemas.openxmlformats.org/spreadsheetml/2006/main" count="185" uniqueCount="158">
  <si>
    <t xml:space="preserve">BrightLine HR - API Integration Health: cost summary</t>
  </si>
  <si>
    <t xml:space="preserve">Item</t>
  </si>
  <si>
    <t xml:space="preserve">USD</t>
  </si>
  <si>
    <t xml:space="preserve">One-time delivery effort (incl. contingency)</t>
  </si>
  <si>
    <t xml:space="preserve">Monthly run cost (Azure-aligned stack)</t>
  </si>
  <si>
    <t xml:space="preserve">Run cost included in setup budget</t>
  </si>
  <si>
    <t xml:space="preserve">INITIAL SETUP BUDGET</t>
  </si>
  <si>
    <t xml:space="preserve">Year-1 total (effort + 12 months run)</t>
  </si>
  <si>
    <t xml:space="preserve">Run cost with ADX Dev/Test (no SLA) - saving vs chosen option /month</t>
  </si>
  <si>
    <t xml:space="preserve">Read this first</t>
  </si>
  <si>
    <t xml:space="preserve">1. Unit prices are planning estimates and were NOT verified against live Microsoft price pages. Replace them on the 'Unit prices' sheet (blue cells).</t>
  </si>
  <si>
    <t xml:space="preserve">2. Event volume is not in the case study; 2M events/day is a placeholder. At this volume Event Hubs and Functions are minor; ADX and Grafana dominate.</t>
  </si>
  <si>
    <t xml:space="preserve">3. Delivery rate (USD 650/day) is a placeholder, not an HCLTech rate. Effort days are a bottom-up estimate for V1 scope only (V2/V3 excluded).</t>
  </si>
  <si>
    <t xml:space="preserve">4. The working prototype (zip) already covers the engine, API and a dashboard, so it de-risks the engine/serve workstreams; no discount is applied.</t>
  </si>
  <si>
    <t xml:space="preserve">5. Excludes taxes, support plans, data egress, ServiceNow/Jira, ML and LLM digest (V2/V3), and any customer-side network (VPN/ExpressRoute) costs.</t>
  </si>
  <si>
    <t xml:space="preserve">BrightLine HR - API Integration Health: cost assumptions</t>
  </si>
  <si>
    <t xml:space="preserve">Blue = editable input. Yellow = key assumption to confirm. All unit prices are PLANNING ESTIMATES (USD list, pay-as-you-go) NOT verified against live Azure/Microsoft price pages - confirm in the Azure Pricing Calculator before quoting.</t>
  </si>
  <si>
    <t xml:space="preserve">Assumption</t>
  </si>
  <si>
    <t xml:space="preserve">Value</t>
  </si>
  <si>
    <t xml:space="preserve">Unit</t>
  </si>
  <si>
    <t xml:space="preserve">Note / source</t>
  </si>
  <si>
    <t xml:space="preserve">Events per day (V1 start)</t>
  </si>
  <si>
    <t xml:space="preserve">events/day</t>
  </si>
  <si>
    <t xml:space="preserve">NOT in the case study (deck slide 9 asks to confirm). Placeholder.</t>
  </si>
  <si>
    <t xml:space="preserve">Annual growth</t>
  </si>
  <si>
    <t xml:space="preserve">%</t>
  </si>
  <si>
    <t xml:space="preserve">Deck slide 2: 10% growth</t>
  </si>
  <si>
    <t xml:space="preserve">Average event size</t>
  </si>
  <si>
    <t xml:space="preserve">KB</t>
  </si>
  <si>
    <t xml:space="preserve">Assumed request-log row incl. keys</t>
  </si>
  <si>
    <t xml:space="preserve">Retention - raw</t>
  </si>
  <si>
    <t xml:space="preserve">days</t>
  </si>
  <si>
    <t xml:space="preserve">Deck slide 2</t>
  </si>
  <si>
    <t xml:space="preserve">Blended delivery rate</t>
  </si>
  <si>
    <t xml:space="preserve">USD / person-day</t>
  </si>
  <si>
    <t xml:space="preserve">PLACEHOLDER - replace with HCLTech/BrightLine rate card</t>
  </si>
  <si>
    <t xml:space="preserve">Contingency on effort</t>
  </si>
  <si>
    <t xml:space="preserve">Assumed</t>
  </si>
  <si>
    <t xml:space="preserve">Months of run cost in 'initial setup' budget</t>
  </si>
  <si>
    <t xml:space="preserve">months</t>
  </si>
  <si>
    <t xml:space="preserve">Build + UAT + first live quarter</t>
  </si>
  <si>
    <t xml:space="preserve">Executive Power BI users</t>
  </si>
  <si>
    <t xml:space="preserve">users</t>
  </si>
  <si>
    <t xml:space="preserve">Assumed (deck: Executives)</t>
  </si>
  <si>
    <t xml:space="preserve">Ops/Support/Eng Grafana users</t>
  </si>
  <si>
    <t xml:space="preserve">Power Automate flow owners (Premium)</t>
  </si>
  <si>
    <t xml:space="preserve">Teams webhook flow; Teams Workflows may remove this cost</t>
  </si>
  <si>
    <t xml:space="preserve">Hours per month</t>
  </si>
  <si>
    <t xml:space="preserve">h</t>
  </si>
  <si>
    <t xml:space="preserve">ADX option for V1 (1=Dev/Test no SLA, 2=Production 2-node)</t>
  </si>
  <si>
    <t xml:space="preserve">switch</t>
  </si>
  <si>
    <t xml:space="preserve">Deck needs 99% uptime 24x7 -&gt; option 2 recommended</t>
  </si>
  <si>
    <t xml:space="preserve">Unit prices (USD) - planning estimates, UNVERIFIED</t>
  </si>
  <si>
    <t xml:space="preserve">Price</t>
  </si>
  <si>
    <t xml:space="preserve">Basis</t>
  </si>
  <si>
    <t xml:space="preserve">Event Hubs Standard - throughput unit</t>
  </si>
  <si>
    <t xml:space="preserve">per TU-hour</t>
  </si>
  <si>
    <t xml:space="preserve">Approx. list price; 1 TU is ample for assumed volume</t>
  </si>
  <si>
    <t xml:space="preserve">Event Hubs - ingress</t>
  </si>
  <si>
    <t xml:space="preserve">per million events</t>
  </si>
  <si>
    <t xml:space="preserve">Approx. list price</t>
  </si>
  <si>
    <t xml:space="preserve">ADX Dev/Test (E2a_v4) incl. markup</t>
  </si>
  <si>
    <t xml:space="preserve">per hour</t>
  </si>
  <si>
    <t xml:space="preserve">Approx.; no SLA</t>
  </si>
  <si>
    <t xml:space="preserve">ADX Production D11_v2 node incl. markup</t>
  </si>
  <si>
    <t xml:space="preserve">per node-hour</t>
  </si>
  <si>
    <t xml:space="preserve">Approx.; 2 nodes for SLA</t>
  </si>
  <si>
    <t xml:space="preserve">ADX storage (hot+cold)</t>
  </si>
  <si>
    <t xml:space="preserve">per GB-month</t>
  </si>
  <si>
    <t xml:space="preserve">Approx. (blob-backed)</t>
  </si>
  <si>
    <t xml:space="preserve">Container Apps - 2 replicas, 0.5 vCPU / 1 GiB, mostly idle</t>
  </si>
  <si>
    <t xml:space="preserve">per month</t>
  </si>
  <si>
    <t xml:space="preserve">Estimate from consumption rates; free grant ignored</t>
  </si>
  <si>
    <t xml:space="preserve">Azure Functions (consumption) - mask &amp; validate</t>
  </si>
  <si>
    <t xml:space="preserve">Estimate, low volume</t>
  </si>
  <si>
    <t xml:space="preserve">Managed Grafana Standard - instance</t>
  </si>
  <si>
    <t xml:space="preserve">Approx.; verify tier</t>
  </si>
  <si>
    <t xml:space="preserve">Managed Grafana - active user</t>
  </si>
  <si>
    <t xml:space="preserve">per user-month</t>
  </si>
  <si>
    <t xml:space="preserve">Approx.</t>
  </si>
  <si>
    <t xml:space="preserve">Power BI Pro</t>
  </si>
  <si>
    <t xml:space="preserve">Public list price (verify)</t>
  </si>
  <si>
    <t xml:space="preserve">Power Automate Premium</t>
  </si>
  <si>
    <t xml:space="preserve">Key Vault</t>
  </si>
  <si>
    <t xml:space="preserve">Few secrets/ops</t>
  </si>
  <si>
    <t xml:space="preserve">Log Analytics / Azure Monitor</t>
  </si>
  <si>
    <t xml:space="preserve">~10 GB logs + alerts</t>
  </si>
  <si>
    <t xml:space="preserve">Container Registry Basic</t>
  </si>
  <si>
    <t xml:space="preserve">Blob (dead-letter, Terraform state)</t>
  </si>
  <si>
    <t xml:space="preserve">Data sizing</t>
  </si>
  <si>
    <t xml:space="preserve">Metric</t>
  </si>
  <si>
    <t xml:space="preserve">Events per month</t>
  </si>
  <si>
    <t xml:space="preserve">events</t>
  </si>
  <si>
    <t xml:space="preserve">Raw GB per month</t>
  </si>
  <si>
    <t xml:space="preserve">GB</t>
  </si>
  <si>
    <t xml:space="preserve">Raw GB held (retention)</t>
  </si>
  <si>
    <t xml:space="preserve">Aggregates &amp; cache (assumed 20% of raw held)</t>
  </si>
  <si>
    <t xml:space="preserve">Total ADX storage, year 1 end (growth applied)</t>
  </si>
  <si>
    <t xml:space="preserve">Monthly infrastructure run cost - Azure-aligned V1 stack (deck slide 5)</t>
  </si>
  <si>
    <t xml:space="preserve">Layer</t>
  </si>
  <si>
    <t xml:space="preserve">Service (deck)</t>
  </si>
  <si>
    <t xml:space="preserve">Monthly USD</t>
  </si>
  <si>
    <t xml:space="preserve">How calculated</t>
  </si>
  <si>
    <t xml:space="preserve">Ingest</t>
  </si>
  <si>
    <t xml:space="preserve">Azure Event Hubs Standard</t>
  </si>
  <si>
    <t xml:space="preserve">1 TU x hours + ingress per million events</t>
  </si>
  <si>
    <t xml:space="preserve">Mask &amp; validate</t>
  </si>
  <si>
    <t xml:space="preserve">Azure Functions (Python)</t>
  </si>
  <si>
    <t xml:space="preserve">flat estimate</t>
  </si>
  <si>
    <t xml:space="preserve">Store</t>
  </si>
  <si>
    <t xml:space="preserve">Azure Data Explorer</t>
  </si>
  <si>
    <t xml:space="preserve">Dev/Test 1 node, or 2 production nodes, + storage</t>
  </si>
  <si>
    <t xml:space="preserve">Health engine</t>
  </si>
  <si>
    <t xml:space="preserve">Timer job (runs in the API container)</t>
  </si>
  <si>
    <t xml:space="preserve">hourly job; no separate cost in prototype design</t>
  </si>
  <si>
    <t xml:space="preserve">Serve</t>
  </si>
  <si>
    <t xml:space="preserve">FastAPI on Azure Container Apps</t>
  </si>
  <si>
    <t xml:space="preserve">Container Registry</t>
  </si>
  <si>
    <t xml:space="preserve">Dashboard</t>
  </si>
  <si>
    <t xml:space="preserve">Azure Managed Grafana (Standard)</t>
  </si>
  <si>
    <t xml:space="preserve">instance + active users</t>
  </si>
  <si>
    <t xml:space="preserve">Power BI Pro (executives)</t>
  </si>
  <si>
    <t xml:space="preserve">users x price</t>
  </si>
  <si>
    <t xml:space="preserve">Alerts</t>
  </si>
  <si>
    <t xml:space="preserve">Power Automate Premium (Teams webhook)</t>
  </si>
  <si>
    <t xml:space="preserve">Security &amp; ops</t>
  </si>
  <si>
    <t xml:space="preserve">Azure Monitor / Log Analytics</t>
  </si>
  <si>
    <t xml:space="preserve">Blob storage (dead-letter, TF state)</t>
  </si>
  <si>
    <t xml:space="preserve">Total per month</t>
  </si>
  <si>
    <t xml:space="preserve">Total per year</t>
  </si>
  <si>
    <t xml:space="preserve">Contingency-free; excludes Entra ID (included in M365 licences), networking egress, support plan, taxes</t>
  </si>
  <si>
    <t xml:space="preserve">One-time initial setup (V1 scope, deck slide 9) - effort-based</t>
  </si>
  <si>
    <t xml:space="preserve">Workstream</t>
  </si>
  <si>
    <t xml:space="preserve">Person-days</t>
  </si>
  <si>
    <t xml:space="preserve">Cost USD</t>
  </si>
  <si>
    <t xml:space="preserve">Note</t>
  </si>
  <si>
    <t xml:space="preserve">Discovery, sizing &amp; sign-off (weights, SLA, tenancy, volumes)</t>
  </si>
  <si>
    <t xml:space="preserve">Open items on deck slide 9</t>
  </si>
  <si>
    <t xml:space="preserve">Azure landing: Terraform, networking, Entra roles, Key Vault</t>
  </si>
  <si>
    <t xml:space="preserve">Skeleton provided in zip</t>
  </si>
  <si>
    <t xml:space="preserve">Ingest: Event Hubs + Functions (schema check, PII masking)</t>
  </si>
  <si>
    <t xml:space="preserve">Logic in app/ingest.py, masking.py is reusable</t>
  </si>
  <si>
    <t xml:space="preserve">Store: ADX schema, 60-day retention, hourly aggregates</t>
  </si>
  <si>
    <t xml:space="preserve">KQL starter in zip</t>
  </si>
  <si>
    <t xml:space="preserve">Health engine: hourly job, baselines, scoring, roll-up</t>
  </si>
  <si>
    <t xml:space="preserve">Prototype engine.py is the reference implementation</t>
  </si>
  <si>
    <t xml:space="preserve">Serve: Health API (FastAPI) + container pipeline + CI/CD</t>
  </si>
  <si>
    <t xml:space="preserve">Prototype main.py reusable</t>
  </si>
  <si>
    <t xml:space="preserve">Grafana operations dashboards + role-based views</t>
  </si>
  <si>
    <t xml:space="preserve">Power BI executive report</t>
  </si>
  <si>
    <t xml:space="preserve">Teams alerts via Power Automate, dedupe, escalation rules</t>
  </si>
  <si>
    <t xml:space="preserve">Testing, performance (&lt;10 s load), UAT, security review</t>
  </si>
  <si>
    <t xml:space="preserve">Documentation, runbook, training &amp; hypercare handover</t>
  </si>
  <si>
    <t xml:space="preserve">Subtotal</t>
  </si>
  <si>
    <t xml:space="preserve">Contingency</t>
  </si>
  <si>
    <t xml:space="preserve">Total one-time delivery effort</t>
  </si>
  <si>
    <t xml:space="preserve">Run cost during build / first live quarter</t>
  </si>
  <si>
    <t xml:space="preserve">INITIAL SETUP BUDGET (effort + infra months)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</si>
</sst>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"/>
    <numFmt numFmtId="167" formatCode="0.0%"/>
    <numFmt numFmtId="168" formatCode="\$#,##0"/>
    <numFmt numFmtId="169" formatCode="\$#,##0.000"/>
    <numFmt numFmtId="170" formatCode="\$#,##0.00"/>
    <numFmt numFmtId="171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04A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0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'One-time setup'!$C$17</f>
        <v>69517.5</v>
      </c>
    </row>
    <row r="5" customFormat="false" ht="15" hidden="false" customHeight="false" outlineLevel="0" collapsed="false">
      <c r="A5" s="3" t="s">
        <v>4</v>
      </c>
      <c r="B5" s="4" t="n">
        <f aca="false">'Monthly run cost'!$C$16</f>
        <v>1029.04593017578</v>
      </c>
    </row>
    <row r="6" customFormat="false" ht="15" hidden="false" customHeight="false" outlineLevel="0" collapsed="false">
      <c r="A6" s="3" t="s">
        <v>5</v>
      </c>
      <c r="B6" s="4" t="n">
        <f aca="false">'One-time setup'!$C$19-'One-time setup'!$C$17</f>
        <v>3087.13779052734</v>
      </c>
    </row>
    <row r="7" customFormat="false" ht="15" hidden="false" customHeight="false" outlineLevel="0" collapsed="false">
      <c r="A7" s="5" t="s">
        <v>6</v>
      </c>
      <c r="B7" s="6" t="n">
        <f aca="false">'One-time setup'!$C$19</f>
        <v>72604.6377905273</v>
      </c>
    </row>
    <row r="8" customFormat="false" ht="15" hidden="false" customHeight="false" outlineLevel="0" collapsed="false">
      <c r="A8" s="3" t="s">
        <v>7</v>
      </c>
      <c r="B8" s="4" t="n">
        <f aca="false">'One-time setup'!$C$17+'Monthly run cost'!$C$16*12</f>
        <v>81866.0511621094</v>
      </c>
    </row>
    <row r="9" customFormat="false" ht="15" hidden="false" customHeight="false" outlineLevel="0" collapsed="false">
      <c r="A9" s="3" t="s">
        <v>8</v>
      </c>
      <c r="B9" s="4" t="n">
        <f aca="false">'Monthly run cost'!$C$16-('Monthly run cost'!$C$16-IF(Assumptions!$B$16=1,0,2*'Unit prices'!$B$7*Assumptions!$B$15-'Unit prices'!$B$6*Assumptions!$B$15))</f>
        <v>467.2</v>
      </c>
    </row>
    <row r="11" customFormat="false" ht="15" hidden="false" customHeight="false" outlineLevel="0" collapsed="false">
      <c r="A11" s="5" t="s">
        <v>9</v>
      </c>
    </row>
    <row r="12" customFormat="false" ht="31.5" hidden="false" customHeight="true" outlineLevel="0" collapsed="false">
      <c r="A12" s="7" t="s">
        <v>10</v>
      </c>
      <c r="B12" s="7"/>
    </row>
    <row r="13" customFormat="false" ht="31.5" hidden="false" customHeight="true" outlineLevel="0" collapsed="false">
      <c r="A13" s="7" t="s">
        <v>11</v>
      </c>
      <c r="B13" s="7"/>
    </row>
    <row r="14" customFormat="false" ht="31.5" hidden="false" customHeight="true" outlineLevel="0" collapsed="false">
      <c r="A14" s="7" t="s">
        <v>12</v>
      </c>
      <c r="B14" s="7"/>
    </row>
    <row r="15" customFormat="false" ht="31.5" hidden="false" customHeight="true" outlineLevel="0" collapsed="false">
      <c r="A15" s="7" t="s">
        <v>13</v>
      </c>
      <c r="B15" s="7"/>
    </row>
    <row r="16" customFormat="false" ht="31.5" hidden="false" customHeight="true" outlineLevel="0" collapsed="false">
      <c r="A16" s="7" t="s">
        <v>14</v>
      </c>
      <c r="B16" s="7"/>
    </row>
  </sheetData>
  <mergeCells count="5"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8" t="s">
        <v>15</v>
      </c>
    </row>
    <row r="2" customFormat="false" ht="45" hidden="false" customHeight="true" outlineLevel="0" collapsed="false">
      <c r="A2" s="9" t="s">
        <v>16</v>
      </c>
      <c r="B2" s="9"/>
      <c r="C2" s="9"/>
      <c r="D2" s="9"/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</row>
    <row r="5" customFormat="false" ht="15" hidden="false" customHeight="false" outlineLevel="0" collapsed="false">
      <c r="A5" s="3" t="s">
        <v>21</v>
      </c>
      <c r="B5" s="10" t="n">
        <v>2000000</v>
      </c>
      <c r="C5" s="3" t="s">
        <v>22</v>
      </c>
      <c r="D5" s="3" t="s">
        <v>23</v>
      </c>
    </row>
    <row r="6" customFormat="false" ht="15" hidden="false" customHeight="false" outlineLevel="0" collapsed="false">
      <c r="A6" s="3" t="s">
        <v>24</v>
      </c>
      <c r="B6" s="11" t="n">
        <v>0.1</v>
      </c>
      <c r="C6" s="3" t="s">
        <v>25</v>
      </c>
      <c r="D6" s="3" t="s">
        <v>26</v>
      </c>
    </row>
    <row r="7" customFormat="false" ht="15" hidden="false" customHeight="false" outlineLevel="0" collapsed="false">
      <c r="A7" s="3" t="s">
        <v>27</v>
      </c>
      <c r="B7" s="12" t="n">
        <v>0.5</v>
      </c>
      <c r="C7" s="3" t="s">
        <v>28</v>
      </c>
      <c r="D7" s="3" t="s">
        <v>29</v>
      </c>
    </row>
    <row r="8" customFormat="false" ht="15" hidden="false" customHeight="false" outlineLevel="0" collapsed="false">
      <c r="A8" s="3" t="s">
        <v>30</v>
      </c>
      <c r="B8" s="12" t="n">
        <v>60</v>
      </c>
      <c r="C8" s="3" t="s">
        <v>31</v>
      </c>
      <c r="D8" s="3" t="s">
        <v>32</v>
      </c>
    </row>
    <row r="9" customFormat="false" ht="15" hidden="false" customHeight="false" outlineLevel="0" collapsed="false">
      <c r="A9" s="3" t="s">
        <v>33</v>
      </c>
      <c r="B9" s="13" t="n">
        <v>650</v>
      </c>
      <c r="C9" s="3" t="s">
        <v>34</v>
      </c>
      <c r="D9" s="3" t="s">
        <v>35</v>
      </c>
    </row>
    <row r="10" customFormat="false" ht="15" hidden="false" customHeight="false" outlineLevel="0" collapsed="false">
      <c r="A10" s="3" t="s">
        <v>36</v>
      </c>
      <c r="B10" s="11" t="n">
        <v>0.15</v>
      </c>
      <c r="C10" s="3" t="s">
        <v>25</v>
      </c>
      <c r="D10" s="3" t="s">
        <v>37</v>
      </c>
    </row>
    <row r="11" customFormat="false" ht="15" hidden="false" customHeight="false" outlineLevel="0" collapsed="false">
      <c r="A11" s="3" t="s">
        <v>38</v>
      </c>
      <c r="B11" s="12" t="n">
        <v>3</v>
      </c>
      <c r="C11" s="3" t="s">
        <v>39</v>
      </c>
      <c r="D11" s="3" t="s">
        <v>40</v>
      </c>
    </row>
    <row r="12" customFormat="false" ht="15" hidden="false" customHeight="false" outlineLevel="0" collapsed="false">
      <c r="A12" s="3" t="s">
        <v>41</v>
      </c>
      <c r="B12" s="12" t="n">
        <v>5</v>
      </c>
      <c r="C12" s="3" t="s">
        <v>42</v>
      </c>
      <c r="D12" s="3" t="s">
        <v>43</v>
      </c>
    </row>
    <row r="13" customFormat="false" ht="15" hidden="false" customHeight="false" outlineLevel="0" collapsed="false">
      <c r="A13" s="3" t="s">
        <v>44</v>
      </c>
      <c r="B13" s="12" t="n">
        <v>15</v>
      </c>
      <c r="C13" s="3" t="s">
        <v>42</v>
      </c>
      <c r="D13" s="3" t="s">
        <v>37</v>
      </c>
    </row>
    <row r="14" customFormat="false" ht="15" hidden="false" customHeight="false" outlineLevel="0" collapsed="false">
      <c r="A14" s="3" t="s">
        <v>45</v>
      </c>
      <c r="B14" s="12" t="n">
        <v>1</v>
      </c>
      <c r="C14" s="3" t="s">
        <v>42</v>
      </c>
      <c r="D14" s="3" t="s">
        <v>46</v>
      </c>
    </row>
    <row r="15" customFormat="false" ht="15" hidden="false" customHeight="false" outlineLevel="0" collapsed="false">
      <c r="A15" s="3" t="s">
        <v>47</v>
      </c>
      <c r="B15" s="12" t="n">
        <v>730</v>
      </c>
      <c r="C15" s="3" t="s">
        <v>48</v>
      </c>
      <c r="D15" s="3"/>
    </row>
    <row r="16" customFormat="false" ht="15" hidden="false" customHeight="false" outlineLevel="0" collapsed="false">
      <c r="A16" s="3" t="s">
        <v>49</v>
      </c>
      <c r="B16" s="14" t="n">
        <v>2</v>
      </c>
      <c r="C16" s="3" t="s">
        <v>50</v>
      </c>
      <c r="D16" s="3" t="s">
        <v>51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8" t="s">
        <v>52</v>
      </c>
    </row>
    <row r="3" customFormat="false" ht="15" hidden="false" customHeight="false" outlineLevel="0" collapsed="false">
      <c r="A3" s="2" t="s">
        <v>1</v>
      </c>
      <c r="B3" s="2" t="s">
        <v>53</v>
      </c>
      <c r="C3" s="2" t="s">
        <v>19</v>
      </c>
      <c r="D3" s="2" t="s">
        <v>54</v>
      </c>
    </row>
    <row r="4" customFormat="false" ht="15" hidden="false" customHeight="false" outlineLevel="0" collapsed="false">
      <c r="A4" s="3" t="s">
        <v>55</v>
      </c>
      <c r="B4" s="15" t="n">
        <v>0.03</v>
      </c>
      <c r="C4" s="3" t="s">
        <v>56</v>
      </c>
      <c r="D4" s="3" t="s">
        <v>57</v>
      </c>
    </row>
    <row r="5" customFormat="false" ht="15" hidden="false" customHeight="false" outlineLevel="0" collapsed="false">
      <c r="A5" s="3" t="s">
        <v>58</v>
      </c>
      <c r="B5" s="15" t="n">
        <v>0.028</v>
      </c>
      <c r="C5" s="3" t="s">
        <v>59</v>
      </c>
      <c r="D5" s="3" t="s">
        <v>60</v>
      </c>
    </row>
    <row r="6" customFormat="false" ht="15" hidden="false" customHeight="false" outlineLevel="0" collapsed="false">
      <c r="A6" s="3" t="s">
        <v>61</v>
      </c>
      <c r="B6" s="15" t="n">
        <v>0.2</v>
      </c>
      <c r="C6" s="3" t="s">
        <v>62</v>
      </c>
      <c r="D6" s="3" t="s">
        <v>63</v>
      </c>
    </row>
    <row r="7" customFormat="false" ht="15" hidden="false" customHeight="false" outlineLevel="0" collapsed="false">
      <c r="A7" s="3" t="s">
        <v>64</v>
      </c>
      <c r="B7" s="15" t="n">
        <v>0.42</v>
      </c>
      <c r="C7" s="3" t="s">
        <v>65</v>
      </c>
      <c r="D7" s="3" t="s">
        <v>66</v>
      </c>
    </row>
    <row r="8" customFormat="false" ht="15" hidden="false" customHeight="false" outlineLevel="0" collapsed="false">
      <c r="A8" s="3" t="s">
        <v>67</v>
      </c>
      <c r="B8" s="15" t="n">
        <v>0.03</v>
      </c>
      <c r="C8" s="3" t="s">
        <v>68</v>
      </c>
      <c r="D8" s="3" t="s">
        <v>69</v>
      </c>
    </row>
    <row r="9" customFormat="false" ht="15" hidden="false" customHeight="false" outlineLevel="0" collapsed="false">
      <c r="A9" s="3" t="s">
        <v>70</v>
      </c>
      <c r="B9" s="16" t="n">
        <v>40</v>
      </c>
      <c r="C9" s="3" t="s">
        <v>71</v>
      </c>
      <c r="D9" s="3" t="s">
        <v>72</v>
      </c>
    </row>
    <row r="10" customFormat="false" ht="15" hidden="false" customHeight="false" outlineLevel="0" collapsed="false">
      <c r="A10" s="3" t="s">
        <v>73</v>
      </c>
      <c r="B10" s="16" t="n">
        <v>10</v>
      </c>
      <c r="C10" s="3" t="s">
        <v>71</v>
      </c>
      <c r="D10" s="3" t="s">
        <v>74</v>
      </c>
    </row>
    <row r="11" customFormat="false" ht="15" hidden="false" customHeight="false" outlineLevel="0" collapsed="false">
      <c r="A11" s="3" t="s">
        <v>75</v>
      </c>
      <c r="B11" s="16" t="n">
        <v>130</v>
      </c>
      <c r="C11" s="3" t="s">
        <v>71</v>
      </c>
      <c r="D11" s="3" t="s">
        <v>76</v>
      </c>
    </row>
    <row r="12" customFormat="false" ht="15" hidden="false" customHeight="false" outlineLevel="0" collapsed="false">
      <c r="A12" s="3" t="s">
        <v>77</v>
      </c>
      <c r="B12" s="16" t="n">
        <v>6</v>
      </c>
      <c r="C12" s="3" t="s">
        <v>78</v>
      </c>
      <c r="D12" s="3" t="s">
        <v>79</v>
      </c>
    </row>
    <row r="13" customFormat="false" ht="15" hidden="false" customHeight="false" outlineLevel="0" collapsed="false">
      <c r="A13" s="3" t="s">
        <v>80</v>
      </c>
      <c r="B13" s="16" t="n">
        <v>14</v>
      </c>
      <c r="C13" s="3" t="s">
        <v>78</v>
      </c>
      <c r="D13" s="3" t="s">
        <v>81</v>
      </c>
    </row>
    <row r="14" customFormat="false" ht="15" hidden="false" customHeight="false" outlineLevel="0" collapsed="false">
      <c r="A14" s="3" t="s">
        <v>82</v>
      </c>
      <c r="B14" s="16" t="n">
        <v>15</v>
      </c>
      <c r="C14" s="3" t="s">
        <v>78</v>
      </c>
      <c r="D14" s="3" t="s">
        <v>81</v>
      </c>
    </row>
    <row r="15" customFormat="false" ht="15" hidden="false" customHeight="false" outlineLevel="0" collapsed="false">
      <c r="A15" s="3" t="s">
        <v>83</v>
      </c>
      <c r="B15" s="16" t="n">
        <v>2</v>
      </c>
      <c r="C15" s="3" t="s">
        <v>71</v>
      </c>
      <c r="D15" s="3" t="s">
        <v>84</v>
      </c>
    </row>
    <row r="16" customFormat="false" ht="15" hidden="false" customHeight="false" outlineLevel="0" collapsed="false">
      <c r="A16" s="3" t="s">
        <v>85</v>
      </c>
      <c r="B16" s="16" t="n">
        <v>25</v>
      </c>
      <c r="C16" s="3" t="s">
        <v>71</v>
      </c>
      <c r="D16" s="3" t="s">
        <v>86</v>
      </c>
    </row>
    <row r="17" customFormat="false" ht="15" hidden="false" customHeight="false" outlineLevel="0" collapsed="false">
      <c r="A17" s="3" t="s">
        <v>87</v>
      </c>
      <c r="B17" s="16" t="n">
        <v>5</v>
      </c>
      <c r="C17" s="3" t="s">
        <v>71</v>
      </c>
      <c r="D17" s="3"/>
    </row>
    <row r="18" customFormat="false" ht="15" hidden="false" customHeight="false" outlineLevel="0" collapsed="false">
      <c r="A18" s="3" t="s">
        <v>88</v>
      </c>
      <c r="B18" s="16" t="n">
        <v>3</v>
      </c>
      <c r="C18" s="3" t="s">
        <v>71</v>
      </c>
      <c r="D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8" t="s">
        <v>89</v>
      </c>
    </row>
    <row r="3" customFormat="false" ht="15" hidden="false" customHeight="false" outlineLevel="0" collapsed="false">
      <c r="A3" s="2" t="s">
        <v>90</v>
      </c>
      <c r="B3" s="2" t="s">
        <v>18</v>
      </c>
      <c r="C3" s="2" t="s">
        <v>19</v>
      </c>
    </row>
    <row r="4" customFormat="false" ht="15" hidden="false" customHeight="false" outlineLevel="0" collapsed="false">
      <c r="A4" s="3" t="s">
        <v>91</v>
      </c>
      <c r="B4" s="17" t="n">
        <f aca="false">Assumptions!$B$5*30</f>
        <v>60000000</v>
      </c>
      <c r="C4" s="3" t="s">
        <v>92</v>
      </c>
    </row>
    <row r="5" customFormat="false" ht="15" hidden="false" customHeight="false" outlineLevel="0" collapsed="false">
      <c r="A5" s="3" t="s">
        <v>93</v>
      </c>
      <c r="B5" s="18" t="n">
        <f aca="false">B4*Assumptions!$B$7/1024/1024</f>
        <v>28.6102294921875</v>
      </c>
      <c r="C5" s="3" t="s">
        <v>94</v>
      </c>
    </row>
    <row r="6" customFormat="false" ht="15" hidden="false" customHeight="false" outlineLevel="0" collapsed="false">
      <c r="A6" s="3" t="s">
        <v>95</v>
      </c>
      <c r="B6" s="18" t="n">
        <f aca="false">B5/30*Assumptions!$B$8</f>
        <v>57.220458984375</v>
      </c>
      <c r="C6" s="3" t="s">
        <v>94</v>
      </c>
    </row>
    <row r="7" customFormat="false" ht="15" hidden="false" customHeight="false" outlineLevel="0" collapsed="false">
      <c r="A7" s="3" t="s">
        <v>96</v>
      </c>
      <c r="B7" s="18" t="n">
        <f aca="false">B6*0.2</f>
        <v>11.444091796875</v>
      </c>
      <c r="C7" s="3" t="s">
        <v>94</v>
      </c>
    </row>
    <row r="8" customFormat="false" ht="15" hidden="false" customHeight="false" outlineLevel="0" collapsed="false">
      <c r="A8" s="3" t="s">
        <v>97</v>
      </c>
      <c r="B8" s="18" t="n">
        <f aca="false">(B6+B7)*(1+Assumptions!$B$6)</f>
        <v>75.531005859375</v>
      </c>
      <c r="C8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8" t="s">
        <v>98</v>
      </c>
    </row>
    <row r="3" customFormat="false" ht="15" hidden="false" customHeight="false" outlineLevel="0" collapsed="false">
      <c r="A3" s="2" t="s">
        <v>99</v>
      </c>
      <c r="B3" s="2" t="s">
        <v>100</v>
      </c>
      <c r="C3" s="2" t="s">
        <v>101</v>
      </c>
      <c r="D3" s="2" t="s">
        <v>102</v>
      </c>
    </row>
    <row r="4" customFormat="false" ht="15" hidden="false" customHeight="false" outlineLevel="0" collapsed="false">
      <c r="A4" s="3" t="s">
        <v>103</v>
      </c>
      <c r="B4" s="3" t="s">
        <v>104</v>
      </c>
      <c r="C4" s="4" t="n">
        <f aca="false">1*'Unit prices'!$B$4*Assumptions!$B$15+Sizing!B4/1000000*'Unit prices'!$B$5</f>
        <v>23.58</v>
      </c>
      <c r="D4" s="3" t="s">
        <v>105</v>
      </c>
    </row>
    <row r="5" customFormat="false" ht="15" hidden="false" customHeight="false" outlineLevel="0" collapsed="false">
      <c r="A5" s="3" t="s">
        <v>106</v>
      </c>
      <c r="B5" s="3" t="s">
        <v>107</v>
      </c>
      <c r="C5" s="4" t="n">
        <f aca="false">'Unit prices'!$B$10</f>
        <v>10</v>
      </c>
      <c r="D5" s="3" t="s">
        <v>108</v>
      </c>
    </row>
    <row r="6" customFormat="false" ht="15" hidden="false" customHeight="false" outlineLevel="0" collapsed="false">
      <c r="A6" s="3" t="s">
        <v>109</v>
      </c>
      <c r="B6" s="3" t="s">
        <v>110</v>
      </c>
      <c r="C6" s="4" t="n">
        <f aca="false">IF(Assumptions!$B$16=1,'Unit prices'!$B$6*Assumptions!$B$15,2*'Unit prices'!$B$7*Assumptions!$B$15)+Sizing!B8*'Unit prices'!$B$8</f>
        <v>615.465930175781</v>
      </c>
      <c r="D6" s="3" t="s">
        <v>111</v>
      </c>
    </row>
    <row r="7" customFormat="false" ht="15" hidden="false" customHeight="false" outlineLevel="0" collapsed="false">
      <c r="A7" s="3" t="s">
        <v>112</v>
      </c>
      <c r="B7" s="3" t="s">
        <v>113</v>
      </c>
      <c r="C7" s="19" t="n">
        <v>0</v>
      </c>
      <c r="D7" s="3" t="s">
        <v>114</v>
      </c>
    </row>
    <row r="8" customFormat="false" ht="15" hidden="false" customHeight="false" outlineLevel="0" collapsed="false">
      <c r="A8" s="3" t="s">
        <v>115</v>
      </c>
      <c r="B8" s="3" t="s">
        <v>116</v>
      </c>
      <c r="C8" s="4" t="n">
        <f aca="false">'Unit prices'!$B$9</f>
        <v>40</v>
      </c>
      <c r="D8" s="3" t="s">
        <v>108</v>
      </c>
    </row>
    <row r="9" customFormat="false" ht="15" hidden="false" customHeight="false" outlineLevel="0" collapsed="false">
      <c r="A9" s="3" t="s">
        <v>115</v>
      </c>
      <c r="B9" s="3" t="s">
        <v>117</v>
      </c>
      <c r="C9" s="4" t="n">
        <f aca="false">'Unit prices'!$B$17</f>
        <v>5</v>
      </c>
      <c r="D9" s="3"/>
    </row>
    <row r="10" customFormat="false" ht="15" hidden="false" customHeight="false" outlineLevel="0" collapsed="false">
      <c r="A10" s="3" t="s">
        <v>118</v>
      </c>
      <c r="B10" s="3" t="s">
        <v>119</v>
      </c>
      <c r="C10" s="4" t="n">
        <f aca="false">'Unit prices'!$B$11+Assumptions!$B$13*'Unit prices'!$B$12</f>
        <v>220</v>
      </c>
      <c r="D10" s="3" t="s">
        <v>120</v>
      </c>
    </row>
    <row r="11" customFormat="false" ht="15" hidden="false" customHeight="false" outlineLevel="0" collapsed="false">
      <c r="A11" s="3" t="s">
        <v>118</v>
      </c>
      <c r="B11" s="3" t="s">
        <v>121</v>
      </c>
      <c r="C11" s="4" t="n">
        <f aca="false">Assumptions!$B$12*'Unit prices'!$B$13</f>
        <v>70</v>
      </c>
      <c r="D11" s="3" t="s">
        <v>122</v>
      </c>
    </row>
    <row r="12" customFormat="false" ht="15" hidden="false" customHeight="false" outlineLevel="0" collapsed="false">
      <c r="A12" s="3" t="s">
        <v>123</v>
      </c>
      <c r="B12" s="3" t="s">
        <v>124</v>
      </c>
      <c r="C12" s="4" t="n">
        <f aca="false">Assumptions!$B$14*'Unit prices'!$B$14</f>
        <v>15</v>
      </c>
      <c r="D12" s="3" t="s">
        <v>122</v>
      </c>
    </row>
    <row r="13" customFormat="false" ht="15" hidden="false" customHeight="false" outlineLevel="0" collapsed="false">
      <c r="A13" s="3" t="s">
        <v>125</v>
      </c>
      <c r="B13" s="3" t="s">
        <v>83</v>
      </c>
      <c r="C13" s="4" t="n">
        <f aca="false">'Unit prices'!$B$15</f>
        <v>2</v>
      </c>
      <c r="D13" s="3"/>
    </row>
    <row r="14" customFormat="false" ht="15" hidden="false" customHeight="false" outlineLevel="0" collapsed="false">
      <c r="A14" s="3" t="s">
        <v>125</v>
      </c>
      <c r="B14" s="3" t="s">
        <v>126</v>
      </c>
      <c r="C14" s="4" t="n">
        <f aca="false">'Unit prices'!$B$16</f>
        <v>25</v>
      </c>
      <c r="D14" s="3"/>
    </row>
    <row r="15" customFormat="false" ht="15" hidden="false" customHeight="false" outlineLevel="0" collapsed="false">
      <c r="A15" s="3" t="s">
        <v>125</v>
      </c>
      <c r="B15" s="3" t="s">
        <v>127</v>
      </c>
      <c r="C15" s="4" t="n">
        <f aca="false">'Unit prices'!$B$18</f>
        <v>3</v>
      </c>
      <c r="D15" s="3"/>
    </row>
    <row r="16" customFormat="false" ht="15" hidden="false" customHeight="false" outlineLevel="0" collapsed="false">
      <c r="B16" s="5" t="s">
        <v>128</v>
      </c>
      <c r="C16" s="20" t="n">
        <f aca="false">SUM(C4:C15)</f>
        <v>1029.04593017578</v>
      </c>
    </row>
    <row r="17" customFormat="false" ht="15" hidden="false" customHeight="false" outlineLevel="0" collapsed="false">
      <c r="B17" s="5" t="s">
        <v>129</v>
      </c>
      <c r="C17" s="20" t="n">
        <f aca="false">C16*12</f>
        <v>12348.5511621094</v>
      </c>
    </row>
    <row r="18" customFormat="false" ht="15" hidden="false" customHeight="false" outlineLevel="0" collapsed="false">
      <c r="B18" s="2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8" t="s">
        <v>131</v>
      </c>
    </row>
    <row r="3" customFormat="false" ht="15" hidden="false" customHeight="false" outlineLevel="0" collapsed="false">
      <c r="A3" s="2" t="s">
        <v>132</v>
      </c>
      <c r="B3" s="2" t="s">
        <v>133</v>
      </c>
      <c r="C3" s="2" t="s">
        <v>134</v>
      </c>
      <c r="D3" s="2" t="s">
        <v>135</v>
      </c>
    </row>
    <row r="4" customFormat="false" ht="15" hidden="false" customHeight="false" outlineLevel="0" collapsed="false">
      <c r="A4" s="3" t="s">
        <v>136</v>
      </c>
      <c r="B4" s="12" t="n">
        <v>8</v>
      </c>
      <c r="C4" s="4" t="n">
        <f aca="false">B4*Assumptions!$B$9</f>
        <v>5200</v>
      </c>
      <c r="D4" s="3" t="s">
        <v>137</v>
      </c>
    </row>
    <row r="5" customFormat="false" ht="15" hidden="false" customHeight="false" outlineLevel="0" collapsed="false">
      <c r="A5" s="3" t="s">
        <v>138</v>
      </c>
      <c r="B5" s="12" t="n">
        <v>12</v>
      </c>
      <c r="C5" s="4" t="n">
        <f aca="false">B5*Assumptions!$B$9</f>
        <v>7800</v>
      </c>
      <c r="D5" s="3" t="s">
        <v>139</v>
      </c>
    </row>
    <row r="6" customFormat="false" ht="15" hidden="false" customHeight="false" outlineLevel="0" collapsed="false">
      <c r="A6" s="3" t="s">
        <v>140</v>
      </c>
      <c r="B6" s="12" t="n">
        <v>10</v>
      </c>
      <c r="C6" s="4" t="n">
        <f aca="false">B6*Assumptions!$B$9</f>
        <v>6500</v>
      </c>
      <c r="D6" s="3" t="s">
        <v>141</v>
      </c>
    </row>
    <row r="7" customFormat="false" ht="15" hidden="false" customHeight="false" outlineLevel="0" collapsed="false">
      <c r="A7" s="3" t="s">
        <v>142</v>
      </c>
      <c r="B7" s="12" t="n">
        <v>8</v>
      </c>
      <c r="C7" s="4" t="n">
        <f aca="false">B7*Assumptions!$B$9</f>
        <v>5200</v>
      </c>
      <c r="D7" s="3" t="s">
        <v>143</v>
      </c>
    </row>
    <row r="8" customFormat="false" ht="15" hidden="false" customHeight="false" outlineLevel="0" collapsed="false">
      <c r="A8" s="3" t="s">
        <v>144</v>
      </c>
      <c r="B8" s="12" t="n">
        <v>12</v>
      </c>
      <c r="C8" s="4" t="n">
        <f aca="false">B8*Assumptions!$B$9</f>
        <v>7800</v>
      </c>
      <c r="D8" s="3" t="s">
        <v>145</v>
      </c>
    </row>
    <row r="9" customFormat="false" ht="15" hidden="false" customHeight="false" outlineLevel="0" collapsed="false">
      <c r="A9" s="3" t="s">
        <v>146</v>
      </c>
      <c r="B9" s="12" t="n">
        <v>8</v>
      </c>
      <c r="C9" s="4" t="n">
        <f aca="false">B9*Assumptions!$B$9</f>
        <v>5200</v>
      </c>
      <c r="D9" s="3" t="s">
        <v>147</v>
      </c>
    </row>
    <row r="10" customFormat="false" ht="15" hidden="false" customHeight="false" outlineLevel="0" collapsed="false">
      <c r="A10" s="3" t="s">
        <v>148</v>
      </c>
      <c r="B10" s="12" t="n">
        <v>10</v>
      </c>
      <c r="C10" s="4" t="n">
        <f aca="false">B10*Assumptions!$B$9</f>
        <v>6500</v>
      </c>
      <c r="D10" s="3"/>
    </row>
    <row r="11" customFormat="false" ht="15" hidden="false" customHeight="false" outlineLevel="0" collapsed="false">
      <c r="A11" s="3" t="s">
        <v>149</v>
      </c>
      <c r="B11" s="12" t="n">
        <v>6</v>
      </c>
      <c r="C11" s="4" t="n">
        <f aca="false">B11*Assumptions!$B$9</f>
        <v>3900</v>
      </c>
      <c r="D11" s="3"/>
    </row>
    <row r="12" customFormat="false" ht="15" hidden="false" customHeight="false" outlineLevel="0" collapsed="false">
      <c r="A12" s="3" t="s">
        <v>150</v>
      </c>
      <c r="B12" s="12" t="n">
        <v>4</v>
      </c>
      <c r="C12" s="4" t="n">
        <f aca="false">B12*Assumptions!$B$9</f>
        <v>2600</v>
      </c>
      <c r="D12" s="3"/>
    </row>
    <row r="13" customFormat="false" ht="15" hidden="false" customHeight="false" outlineLevel="0" collapsed="false">
      <c r="A13" s="3" t="s">
        <v>151</v>
      </c>
      <c r="B13" s="12" t="n">
        <v>10</v>
      </c>
      <c r="C13" s="4" t="n">
        <f aca="false">B13*Assumptions!$B$9</f>
        <v>6500</v>
      </c>
      <c r="D13" s="3"/>
    </row>
    <row r="14" customFormat="false" ht="15" hidden="false" customHeight="false" outlineLevel="0" collapsed="false">
      <c r="A14" s="3" t="s">
        <v>152</v>
      </c>
      <c r="B14" s="12" t="n">
        <v>5</v>
      </c>
      <c r="C14" s="4" t="n">
        <f aca="false">B14*Assumptions!$B$9</f>
        <v>3250</v>
      </c>
      <c r="D14" s="3"/>
    </row>
    <row r="15" customFormat="false" ht="15" hidden="false" customHeight="false" outlineLevel="0" collapsed="false">
      <c r="A15" s="5" t="s">
        <v>153</v>
      </c>
      <c r="B15" s="5" t="n">
        <f aca="false">SUM(B4:B14)</f>
        <v>93</v>
      </c>
      <c r="C15" s="20" t="n">
        <f aca="false">SUM(C4:C14)</f>
        <v>60450</v>
      </c>
    </row>
    <row r="16" customFormat="false" ht="15" hidden="false" customHeight="false" outlineLevel="0" collapsed="false">
      <c r="A16" s="3" t="s">
        <v>154</v>
      </c>
      <c r="B16" s="3" t="n">
        <f aca="false">B15*Assumptions!$B$10</f>
        <v>13.95</v>
      </c>
      <c r="C16" s="22" t="n">
        <f aca="false">B16*Assumptions!$B$9</f>
        <v>9067.5</v>
      </c>
    </row>
    <row r="17" customFormat="false" ht="15" hidden="false" customHeight="false" outlineLevel="0" collapsed="false">
      <c r="A17" s="5" t="s">
        <v>155</v>
      </c>
      <c r="B17" s="5" t="n">
        <f aca="false">B15+B16</f>
        <v>106.95</v>
      </c>
      <c r="C17" s="20" t="n">
        <f aca="false">C15+C16</f>
        <v>69517.5</v>
      </c>
    </row>
    <row r="18" customFormat="false" ht="15" hidden="false" customHeight="false" outlineLevel="0" collapsed="false">
      <c r="A18" s="3" t="s">
        <v>156</v>
      </c>
      <c r="C18" s="22" t="n">
        <f aca="false">'Monthly run cost'!$C$16*Assumptions!$B$11</f>
        <v>3087.13779052734</v>
      </c>
    </row>
    <row r="19" customFormat="false" ht="15" hidden="false" customHeight="false" outlineLevel="0" collapsed="false">
      <c r="A19" s="5" t="s">
        <v>157</v>
      </c>
      <c r="C19" s="6" t="n">
        <f aca="false">C17+C18</f>
        <v>72604.6377905273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2026-10-19T15:56:04Z</dcterms:created>
  <dc:creator>openpyxl</dc:creator>
  <dc:description/>
  <dc:language>en-US</dc:language>
  <cp:lastModifiedBy/>
  <dcterms:modified xsi:type="dcterms:W3CDTF">2026-10-19T15:56:04Z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